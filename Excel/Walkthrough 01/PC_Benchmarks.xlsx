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SEWD II - Elijah Dusute\Assignment-Repo\Excel\Walkthrough 01\"/>
    </mc:Choice>
  </mc:AlternateContent>
  <xr:revisionPtr revIDLastSave="0" documentId="8_{6C0631BC-87CF-4495-9A94-0463802A0DF5}" xr6:coauthVersionLast="47" xr6:coauthVersionMax="47" xr10:uidLastSave="{00000000-0000-0000-0000-000000000000}"/>
  <bookViews>
    <workbookView xWindow="-108" yWindow="-108" windowWidth="23256" windowHeight="12456" xr2:uid="{9E0C684E-2E0B-4038-B39E-6C6E391C51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I3" i="1"/>
  <c r="I4" i="1"/>
  <c r="I5" i="1"/>
  <c r="I6" i="1"/>
  <c r="I7" i="1"/>
  <c r="I2" i="1"/>
  <c r="H3" i="1"/>
  <c r="H4" i="1"/>
  <c r="H5" i="1"/>
  <c r="H6" i="1"/>
  <c r="H7" i="1"/>
  <c r="H2" i="1"/>
  <c r="G2" i="1"/>
  <c r="G3" i="1"/>
  <c r="G4" i="1"/>
  <c r="G5" i="1"/>
  <c r="G6" i="1"/>
  <c r="G7" i="1"/>
</calcChain>
</file>

<file path=xl/sharedStrings.xml><?xml version="1.0" encoding="utf-8"?>
<sst xmlns="http://schemas.openxmlformats.org/spreadsheetml/2006/main" count="19" uniqueCount="19">
  <si>
    <t>PC_Build</t>
  </si>
  <si>
    <t>FPS_Game1</t>
  </si>
  <si>
    <t>FPS_Game2</t>
  </si>
  <si>
    <t>FPS_Game3</t>
  </si>
  <si>
    <t>CPU_Temp</t>
  </si>
  <si>
    <t>GPU_Temp</t>
  </si>
  <si>
    <t>Budget_Beast</t>
  </si>
  <si>
    <t>Mid_Tier_Gamer</t>
  </si>
  <si>
    <t>High_End_Rig</t>
  </si>
  <si>
    <t>Ultra_Build</t>
  </si>
  <si>
    <t>Streamer_Pro</t>
  </si>
  <si>
    <t>Esports_Ready</t>
  </si>
  <si>
    <t>Avg_FPS</t>
  </si>
  <si>
    <t>Temp_Status</t>
  </si>
  <si>
    <t>Gaming_Tier</t>
  </si>
  <si>
    <t>Highest Avg FPS</t>
  </si>
  <si>
    <t>Lowest Avg FPS</t>
  </si>
  <si>
    <t>High Tier Systems</t>
  </si>
  <si>
    <t>Good Cooling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</si>
</sst>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D6767-D688-455E-8C05-B9EF7602D5AF}">
  <dimension ref="A1:I12"/>
  <sheetViews>
    <sheetView tabSelected="1" workbookViewId="0">
      <selection activeCell="H2" sqref="H2:H7"/>
    </sheetView>
  </sheetViews>
  <sheetFormatPr defaultRowHeight="14.4" x14ac:dyDescent="0.3"/>
  <cols>
    <col min="1" max="1" width="18.88671875" bestFit="1" customWidth="1"/>
    <col min="2" max="4" width="10.77734375" bestFit="1" customWidth="1"/>
    <col min="5" max="5" width="9.77734375" bestFit="1" customWidth="1"/>
    <col min="6" max="6" width="9.88671875" bestFit="1" customWidth="1"/>
    <col min="7" max="7" width="7.6640625" bestFit="1" customWidth="1"/>
    <col min="8" max="8" width="11.21875" bestFit="1" customWidth="1"/>
    <col min="9" max="9" width="1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13</v>
      </c>
      <c r="I1" t="s">
        <v>14</v>
      </c>
    </row>
    <row r="2" spans="1:9" x14ac:dyDescent="0.3">
      <c r="A2" t="s">
        <v>6</v>
      </c>
      <c r="B2">
        <v>85</v>
      </c>
      <c r="C2">
        <v>92</v>
      </c>
      <c r="D2">
        <v>78</v>
      </c>
      <c r="E2">
        <v>68</v>
      </c>
      <c r="F2">
        <v>72</v>
      </c>
      <c r="G2" s="1">
        <f>AVERAGE(B2:D2)</f>
        <v>85</v>
      </c>
      <c r="H2" t="str">
        <f>IF(E2&lt;=65,"Good","Warm")</f>
        <v>Warm</v>
      </c>
      <c r="I2" t="str">
        <f>IF(G2&gt;=120,"High","Standard")</f>
        <v>Standard</v>
      </c>
    </row>
    <row r="3" spans="1:9" x14ac:dyDescent="0.3">
      <c r="A3" t="s">
        <v>7</v>
      </c>
      <c r="B3">
        <v>110</v>
      </c>
      <c r="C3">
        <v>118</v>
      </c>
      <c r="D3">
        <v>105</v>
      </c>
      <c r="E3">
        <v>65</v>
      </c>
      <c r="F3">
        <v>70</v>
      </c>
      <c r="G3" s="1">
        <f t="shared" ref="G3:G7" si="0">AVERAGE(B3:D3)</f>
        <v>111</v>
      </c>
      <c r="H3" t="str">
        <f t="shared" ref="H3:H7" si="1">IF(E3&lt;=65,"Good","Warm")</f>
        <v>Good</v>
      </c>
      <c r="I3" t="str">
        <f t="shared" ref="I3:I7" si="2">IF(G3&gt;=120,"High","Standard")</f>
        <v>Standard</v>
      </c>
    </row>
    <row r="4" spans="1:9" x14ac:dyDescent="0.3">
      <c r="A4" t="s">
        <v>8</v>
      </c>
      <c r="B4">
        <v>144</v>
      </c>
      <c r="C4">
        <v>155</v>
      </c>
      <c r="D4">
        <v>142</v>
      </c>
      <c r="E4">
        <v>62</v>
      </c>
      <c r="F4">
        <v>68</v>
      </c>
      <c r="G4" s="1">
        <f t="shared" si="0"/>
        <v>147</v>
      </c>
      <c r="H4" t="str">
        <f t="shared" si="1"/>
        <v>Good</v>
      </c>
      <c r="I4" t="str">
        <f t="shared" si="2"/>
        <v>High</v>
      </c>
    </row>
    <row r="5" spans="1:9" x14ac:dyDescent="0.3">
      <c r="A5" t="s">
        <v>9</v>
      </c>
      <c r="B5">
        <v>165</v>
      </c>
      <c r="C5">
        <v>178</v>
      </c>
      <c r="D5">
        <v>160</v>
      </c>
      <c r="E5">
        <v>58</v>
      </c>
      <c r="F5">
        <v>64</v>
      </c>
      <c r="G5" s="1">
        <f t="shared" si="0"/>
        <v>167.66666666666666</v>
      </c>
      <c r="H5" t="str">
        <f t="shared" si="1"/>
        <v>Good</v>
      </c>
      <c r="I5" t="str">
        <f t="shared" si="2"/>
        <v>High</v>
      </c>
    </row>
    <row r="6" spans="1:9" x14ac:dyDescent="0.3">
      <c r="A6" t="s">
        <v>10</v>
      </c>
      <c r="B6">
        <v>120</v>
      </c>
      <c r="C6">
        <v>128</v>
      </c>
      <c r="D6">
        <v>115</v>
      </c>
      <c r="E6">
        <v>66</v>
      </c>
      <c r="F6">
        <v>71</v>
      </c>
      <c r="G6" s="1">
        <f t="shared" si="0"/>
        <v>121</v>
      </c>
      <c r="H6" t="str">
        <f t="shared" si="1"/>
        <v>Warm</v>
      </c>
      <c r="I6" t="str">
        <f t="shared" si="2"/>
        <v>High</v>
      </c>
    </row>
    <row r="7" spans="1:9" x14ac:dyDescent="0.3">
      <c r="A7" t="s">
        <v>11</v>
      </c>
      <c r="B7">
        <v>240</v>
      </c>
      <c r="C7">
        <v>255</v>
      </c>
      <c r="D7">
        <v>238</v>
      </c>
      <c r="E7">
        <v>60</v>
      </c>
      <c r="F7">
        <v>66</v>
      </c>
      <c r="G7" s="1">
        <f t="shared" si="0"/>
        <v>244.33333333333334</v>
      </c>
      <c r="H7" t="str">
        <f t="shared" si="1"/>
        <v>Good</v>
      </c>
      <c r="I7" t="str">
        <f t="shared" si="2"/>
        <v>High</v>
      </c>
    </row>
    <row r="9" spans="1:9" x14ac:dyDescent="0.3">
      <c r="A9" t="s">
        <v>15</v>
      </c>
      <c r="B9" s="2">
        <f>MAX(G2:G7)</f>
        <v>244.33333333333334</v>
      </c>
    </row>
    <row r="10" spans="1:9" x14ac:dyDescent="0.3">
      <c r="A10" t="s">
        <v>16</v>
      </c>
      <c r="B10" s="2">
        <f>MIN(G2:G7)</f>
        <v>85</v>
      </c>
    </row>
    <row r="11" spans="1:9" x14ac:dyDescent="0.3">
      <c r="A11" t="s">
        <v>17</v>
      </c>
      <c r="B11">
        <f>COUNTIF(I2:I7,"High")</f>
        <v>4</v>
      </c>
    </row>
    <row r="12" spans="1:9" x14ac:dyDescent="0.3">
      <c r="A12" t="s">
        <v>18</v>
      </c>
      <c r="B12">
        <f>COUNTIF(H2:H7,"Good")</f>
        <v>4</v>
      </c>
    </row>
  </sheetData>
  <conditionalFormatting sqref="H2:H7">
    <cfRule type="containsText" dxfId="2" priority="2" operator="containsText" text="Warm">
      <formula>NOT(ISERROR(SEARCH("Warm",H2)))</formula>
    </cfRule>
    <cfRule type="containsText" dxfId="1" priority="1" operator="containsText" text="Good">
      <formula>NOT(ISERROR(SEARCH("Good",H2)))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Dusute, Elijah</dc:creator>
  <cp:lastModifiedBy>Dusute, Elijah</cp:lastModifiedBy>
  <dcterms:created xsi:type="dcterms:W3CDTF">2026-01-14T18:26:00Z</dcterms:created>
  <dcterms:modified xsi:type="dcterms:W3CDTF">2026-01-14T18:34:30Z</dcterms:modified>
</cp:coreProperties>
</file>