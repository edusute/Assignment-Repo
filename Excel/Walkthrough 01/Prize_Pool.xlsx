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EWD II - Elijah Dusute\Assignment-Repo\Excel\Walkthrough 01\"/>
    </mc:Choice>
  </mc:AlternateContent>
  <xr:revisionPtr revIDLastSave="0" documentId="8_{4CA6CB05-3ACE-48A7-8E91-803A8B202A5E}" xr6:coauthVersionLast="47" xr6:coauthVersionMax="47" xr10:uidLastSave="{00000000-0000-0000-0000-000000000000}"/>
  <bookViews>
    <workbookView xWindow="-108" yWindow="-108" windowWidth="23256" windowHeight="12456" xr2:uid="{58664388-AD8F-4B6F-820F-1F6530A88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E2" i="1"/>
  <c r="E3" i="1"/>
  <c r="E4" i="1"/>
  <c r="E5" i="1"/>
  <c r="E6" i="1"/>
  <c r="E7" i="1"/>
  <c r="E8" i="1"/>
  <c r="E9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<sst xmlns="http://schemas.openxmlformats.org/spreadsheetml/2006/main" count="17" uniqueCount="17">
  <si>
    <t>Team_Name</t>
  </si>
  <si>
    <t>Tournament_Wins</t>
  </si>
  <si>
    <t>Prize_Per_Win</t>
  </si>
  <si>
    <t>Team_Liquid</t>
  </si>
  <si>
    <t>Cloud9</t>
  </si>
  <si>
    <t>FaZe_Clan</t>
  </si>
  <si>
    <t>G2_Esports</t>
  </si>
  <si>
    <t>Fnatic</t>
  </si>
  <si>
    <t>NaVi</t>
  </si>
  <si>
    <t>OpTic_Gaming</t>
  </si>
  <si>
    <t>TSM</t>
  </si>
  <si>
    <t>Total_Winnings</t>
  </si>
  <si>
    <t>Bonus_Status</t>
  </si>
  <si>
    <t>Total Prize Money</t>
  </si>
  <si>
    <t>Average Winnings</t>
  </si>
  <si>
    <t>Top Earner</t>
  </si>
  <si>
    <t>Teams Eligible for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</si>
</sst>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Esports  Team Earnings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Total_Winnings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Team_Liquid</c:v>
                </c:pt>
                <c:pt idx="1">
                  <c:v>Cloud9</c:v>
                </c:pt>
                <c:pt idx="2">
                  <c:v>FaZe_Clan</c:v>
                </c:pt>
                <c:pt idx="3">
                  <c:v>G2_Esports</c:v>
                </c:pt>
                <c:pt idx="4">
                  <c:v>Fnatic</c:v>
                </c:pt>
                <c:pt idx="5">
                  <c:v>NaVi</c:v>
                </c:pt>
                <c:pt idx="6">
                  <c:v>OpTic_Gaming</c:v>
                </c:pt>
                <c:pt idx="7">
                  <c:v>TSM</c:v>
                </c:pt>
              </c:strCache>
            </c:strRef>
          </c:cat>
          <c:val>
            <c:numRef>
              <c:f>Sheet1!$D$2:$D$9</c:f>
              <c:numCache>
                <c:formatCode>_("$"* #,##0.00_);_("$"* \(#,##0.00\);_("$"* "-"??_);_(@_)</c:formatCode>
                <c:ptCount val="8"/>
                <c:pt idx="0">
                  <c:v>200000</c:v>
                </c:pt>
                <c:pt idx="1">
                  <c:v>150000</c:v>
                </c:pt>
                <c:pt idx="2">
                  <c:v>300000</c:v>
                </c:pt>
                <c:pt idx="3">
                  <c:v>125000</c:v>
                </c:pt>
                <c:pt idx="4">
                  <c:v>225000</c:v>
                </c:pt>
                <c:pt idx="5">
                  <c:v>275000</c:v>
                </c:pt>
                <c:pt idx="6">
                  <c:v>175000</c:v>
                </c:pt>
                <c:pt idx="7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6-4708-B148-628D0A6D19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68487199"/>
        <c:axId val="1568488639"/>
      </c:barChart>
      <c:catAx>
        <c:axId val="1568487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88639"/>
        <c:crosses val="autoZero"/>
        <c:auto val="1"/>
        <c:lblAlgn val="ctr"/>
        <c:lblOffset val="100"/>
        <c:noMultiLvlLbl val="0"/>
      </c:catAx>
      <c:valAx>
        <c:axId val="15684886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102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8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6</xdr:row>
      <xdr:rowOff>41910</xdr:rowOff>
    </xdr:from>
    <xdr:to>
      <xdr:col>12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58F23-B247-848D-6CCB-4F85FC039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ADB4-775C-45F3-ACE4-3EE5CEC18BAE}">
  <dimension ref="A1:E14"/>
  <sheetViews>
    <sheetView tabSelected="1" workbookViewId="0">
      <selection activeCell="D1" activeCellId="1" sqref="A1:A9 D1:D9"/>
    </sheetView>
  </sheetViews>
  <sheetFormatPr defaultRowHeight="14.4" x14ac:dyDescent="0.3"/>
  <cols>
    <col min="1" max="1" width="20.44140625" bestFit="1" customWidth="1"/>
    <col min="2" max="2" width="15.5546875" bestFit="1" customWidth="1"/>
    <col min="3" max="3" width="12.44140625" bestFit="1" customWidth="1"/>
    <col min="4" max="4" width="13.109375" bestFit="1" customWidth="1"/>
    <col min="5" max="5" width="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 spans="1:5" x14ac:dyDescent="0.3">
      <c r="A2" t="s">
        <v>3</v>
      </c>
      <c r="B2">
        <v>8</v>
      </c>
      <c r="C2">
        <v>25000</v>
      </c>
      <c r="D2" s="1">
        <f>B2*C2</f>
        <v>200000</v>
      </c>
      <c r="E2" t="str">
        <f>IF(B2&gt;=8,"Eligible","Not Eligible")</f>
        <v>Eligible</v>
      </c>
    </row>
    <row r="3" spans="1:5" x14ac:dyDescent="0.3">
      <c r="A3" t="s">
        <v>4</v>
      </c>
      <c r="B3">
        <v>6</v>
      </c>
      <c r="C3">
        <v>25000</v>
      </c>
      <c r="D3" s="1">
        <f t="shared" ref="D3:D9" si="0">B3*C3</f>
        <v>150000</v>
      </c>
      <c r="E3" t="str">
        <f t="shared" ref="E3:E9" si="1">IF(B3&gt;=8,"Eligible","Not Eligible")</f>
        <v>Not Eligible</v>
      </c>
    </row>
    <row r="4" spans="1:5" x14ac:dyDescent="0.3">
      <c r="A4" t="s">
        <v>5</v>
      </c>
      <c r="B4">
        <v>12</v>
      </c>
      <c r="C4">
        <v>25000</v>
      </c>
      <c r="D4" s="1">
        <f t="shared" si="0"/>
        <v>300000</v>
      </c>
      <c r="E4" t="str">
        <f t="shared" si="1"/>
        <v>Eligible</v>
      </c>
    </row>
    <row r="5" spans="1:5" x14ac:dyDescent="0.3">
      <c r="A5" t="s">
        <v>6</v>
      </c>
      <c r="B5">
        <v>5</v>
      </c>
      <c r="C5">
        <v>25000</v>
      </c>
      <c r="D5" s="1">
        <f t="shared" si="0"/>
        <v>125000</v>
      </c>
      <c r="E5" t="str">
        <f t="shared" si="1"/>
        <v>Not Eligible</v>
      </c>
    </row>
    <row r="6" spans="1:5" x14ac:dyDescent="0.3">
      <c r="A6" t="s">
        <v>7</v>
      </c>
      <c r="B6">
        <v>9</v>
      </c>
      <c r="C6">
        <v>25000</v>
      </c>
      <c r="D6" s="1">
        <f t="shared" si="0"/>
        <v>225000</v>
      </c>
      <c r="E6" t="str">
        <f t="shared" si="1"/>
        <v>Eligible</v>
      </c>
    </row>
    <row r="7" spans="1:5" x14ac:dyDescent="0.3">
      <c r="A7" t="s">
        <v>8</v>
      </c>
      <c r="B7">
        <v>11</v>
      </c>
      <c r="C7">
        <v>25000</v>
      </c>
      <c r="D7" s="1">
        <f t="shared" si="0"/>
        <v>275000</v>
      </c>
      <c r="E7" t="str">
        <f t="shared" si="1"/>
        <v>Eligible</v>
      </c>
    </row>
    <row r="8" spans="1:5" x14ac:dyDescent="0.3">
      <c r="A8" t="s">
        <v>9</v>
      </c>
      <c r="B8">
        <v>7</v>
      </c>
      <c r="C8">
        <v>25000</v>
      </c>
      <c r="D8" s="1">
        <f t="shared" si="0"/>
        <v>175000</v>
      </c>
      <c r="E8" t="str">
        <f t="shared" si="1"/>
        <v>Not Eligible</v>
      </c>
    </row>
    <row r="9" spans="1:5" x14ac:dyDescent="0.3">
      <c r="A9" t="s">
        <v>10</v>
      </c>
      <c r="B9">
        <v>4</v>
      </c>
      <c r="C9">
        <v>25000</v>
      </c>
      <c r="D9" s="1">
        <f t="shared" si="0"/>
        <v>100000</v>
      </c>
      <c r="E9" t="str">
        <f t="shared" si="1"/>
        <v>Not Eligible</v>
      </c>
    </row>
    <row r="11" spans="1:5" x14ac:dyDescent="0.3">
      <c r="A11" t="s">
        <v>13</v>
      </c>
      <c r="B11" s="2">
        <f>SUM(D2:D9)</f>
        <v>1550000</v>
      </c>
    </row>
    <row r="12" spans="1:5" x14ac:dyDescent="0.3">
      <c r="A12" t="s">
        <v>14</v>
      </c>
      <c r="B12" s="2">
        <f>AVERAGE(D2:D9)</f>
        <v>193750</v>
      </c>
    </row>
    <row r="13" spans="1:5" x14ac:dyDescent="0.3">
      <c r="A13" t="s">
        <v>15</v>
      </c>
      <c r="B13" s="2">
        <f>MAX(D2:D9)</f>
        <v>300000</v>
      </c>
    </row>
    <row r="14" spans="1:5" x14ac:dyDescent="0.3">
      <c r="A14" t="s">
        <v>16</v>
      </c>
      <c r="B14">
        <f>COUNTIF(E2:E9,"Eligible")</f>
        <v>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Dusute, Elijah</dc:creator>
  <cp:lastModifiedBy>Dusute, Elijah</cp:lastModifiedBy>
  <dcterms:created xsi:type="dcterms:W3CDTF">2026-01-14T18:09:44Z</dcterms:created>
  <dcterms:modified xsi:type="dcterms:W3CDTF">2026-01-14T18:19:34Z</dcterms:modified>
</cp:coreProperties>
</file>