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EWD II - Elijah Dusute\Assignment-Repo\Excel\Walkthrough 01\"/>
    </mc:Choice>
  </mc:AlternateContent>
  <xr:revisionPtr revIDLastSave="0" documentId="8_{D508203E-1E0C-4B77-B6DC-2CCE6F45BF17}" xr6:coauthVersionLast="47" xr6:coauthVersionMax="47" xr10:uidLastSave="{00000000-0000-0000-0000-000000000000}"/>
  <bookViews>
    <workbookView xWindow="-108" yWindow="-108" windowWidth="23256" windowHeight="12456" xr2:uid="{1A04F9CB-A6F8-4837-81F5-B48EC9CB1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F2" i="1"/>
  <c r="F3" i="1"/>
  <c r="F4" i="1"/>
  <c r="F5" i="1"/>
  <c r="F6" i="1"/>
  <c r="F7" i="1"/>
  <c r="F8" i="1"/>
  <c r="F9" i="1"/>
  <c r="F10" i="1"/>
  <c r="F11" i="1"/>
  <c r="B16" i="1" l="1"/>
  <c r="B15" i="1"/>
  <c r="B13" i="1"/>
  <c r="B14" i="1"/>
</calcChain>
</file>

<file path=xl/sharedStrings.xml><?xml version="1.0" encoding="utf-8"?>
<sst xmlns="http://schemas.openxmlformats.org/spreadsheetml/2006/main" count="22" uniqueCount="22">
  <si>
    <t>Player_Name</t>
  </si>
  <si>
    <t>Match1_Kills</t>
  </si>
  <si>
    <t>Match2_Kills</t>
  </si>
  <si>
    <t>Match3_Kills</t>
  </si>
  <si>
    <t>Match4_Kills</t>
  </si>
  <si>
    <t>ShadowNinja</t>
  </si>
  <si>
    <t>ProGamer99</t>
  </si>
  <si>
    <t>SnipeKing</t>
  </si>
  <si>
    <t>GhostRider</t>
  </si>
  <si>
    <t>TitanFury</t>
  </si>
  <si>
    <t>VortexX</t>
  </si>
  <si>
    <t>BlazeFast</t>
  </si>
  <si>
    <t>ThunderBolt</t>
  </si>
  <si>
    <t>NeonStrike</t>
  </si>
  <si>
    <t>IcePhoenix</t>
  </si>
  <si>
    <t>Total_Kills</t>
  </si>
  <si>
    <t>Avg_Kills</t>
  </si>
  <si>
    <t>MVP_Status</t>
  </si>
  <si>
    <t>Tournament Leader</t>
  </si>
  <si>
    <t>Lowest Total</t>
  </si>
  <si>
    <t>Average Total Kills</t>
  </si>
  <si>
    <t>MVP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</si>
</sst>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Total_Kills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ShadowNinja</c:v>
                </c:pt>
                <c:pt idx="1">
                  <c:v>ProGamer99</c:v>
                </c:pt>
                <c:pt idx="2">
                  <c:v>SnipeKing</c:v>
                </c:pt>
                <c:pt idx="3">
                  <c:v>GhostRider</c:v>
                </c:pt>
                <c:pt idx="4">
                  <c:v>TitanFury</c:v>
                </c:pt>
                <c:pt idx="5">
                  <c:v>VortexX</c:v>
                </c:pt>
                <c:pt idx="6">
                  <c:v>BlazeFast</c:v>
                </c:pt>
                <c:pt idx="7">
                  <c:v>ThunderBolt</c:v>
                </c:pt>
                <c:pt idx="8">
                  <c:v>NeonStrike</c:v>
                </c:pt>
                <c:pt idx="9">
                  <c:v>IcePhoenix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49</c:v>
                </c:pt>
                <c:pt idx="1">
                  <c:v>43</c:v>
                </c:pt>
                <c:pt idx="2">
                  <c:v>57</c:v>
                </c:pt>
                <c:pt idx="3">
                  <c:v>35</c:v>
                </c:pt>
                <c:pt idx="4">
                  <c:v>48</c:v>
                </c:pt>
                <c:pt idx="5">
                  <c:v>53</c:v>
                </c:pt>
                <c:pt idx="6">
                  <c:v>39</c:v>
                </c:pt>
                <c:pt idx="7">
                  <c:v>48</c:v>
                </c:pt>
                <c:pt idx="8">
                  <c:v>44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2-4C4F-8E12-139D0761DE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52254544"/>
        <c:axId val="952255504"/>
      </c:barChart>
      <c:catAx>
        <c:axId val="95225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55504"/>
        <c:crosses val="autoZero"/>
        <c:auto val="1"/>
        <c:lblAlgn val="ctr"/>
        <c:lblOffset val="100"/>
        <c:noMultiLvlLbl val="0"/>
      </c:catAx>
      <c:valAx>
        <c:axId val="952255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25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0</xdr:row>
      <xdr:rowOff>34290</xdr:rowOff>
    </xdr:from>
    <xdr:to>
      <xdr:col>17</xdr:col>
      <xdr:colOff>266700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06972-7D7A-F2EE-99B9-38EA27982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F270-E280-4F5A-A35C-ADD3C0F6D267}">
  <dimension ref="A1:H16"/>
  <sheetViews>
    <sheetView tabSelected="1" workbookViewId="0">
      <selection activeCell="F1" activeCellId="1" sqref="A1:A11 F1:F11"/>
    </sheetView>
  </sheetViews>
  <sheetFormatPr defaultRowHeight="14.4" x14ac:dyDescent="0.3"/>
  <cols>
    <col min="1" max="1" width="16.6640625" bestFit="1" customWidth="1"/>
    <col min="2" max="5" width="11" bestFit="1" customWidth="1"/>
    <col min="7" max="7" width="7.77734375" bestFit="1" customWidth="1"/>
    <col min="8" max="8" width="10.4414062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G1" s="2" t="s">
        <v>16</v>
      </c>
      <c r="H1" s="2" t="s">
        <v>17</v>
      </c>
    </row>
    <row r="2" spans="1:8" x14ac:dyDescent="0.3">
      <c r="A2" t="s">
        <v>5</v>
      </c>
      <c r="B2">
        <v>12</v>
      </c>
      <c r="C2">
        <v>15</v>
      </c>
      <c r="D2">
        <v>8</v>
      </c>
      <c r="E2">
        <v>14</v>
      </c>
      <c r="F2">
        <f>SUM(B2:E2)</f>
        <v>49</v>
      </c>
      <c r="G2" s="1">
        <f>AVERAGE(B2:E2)</f>
        <v>12.25</v>
      </c>
      <c r="H2" t="str">
        <f>IF(G2&gt;=12,"MVP","Player")</f>
        <v>MVP</v>
      </c>
    </row>
    <row r="3" spans="1:8" x14ac:dyDescent="0.3">
      <c r="A3" t="s">
        <v>6</v>
      </c>
      <c r="B3">
        <v>9</v>
      </c>
      <c r="C3">
        <v>11</v>
      </c>
      <c r="D3">
        <v>13</v>
      </c>
      <c r="E3">
        <v>10</v>
      </c>
      <c r="F3">
        <f>SUM(B3:E3)</f>
        <v>43</v>
      </c>
      <c r="G3" s="1">
        <f>AVERAGE(B3:E3)</f>
        <v>10.75</v>
      </c>
      <c r="H3" t="str">
        <f t="shared" ref="H3:H11" si="0">IF(G3&gt;=12,"MVP","Player")</f>
        <v>Player</v>
      </c>
    </row>
    <row r="4" spans="1:8" x14ac:dyDescent="0.3">
      <c r="A4" t="s">
        <v>7</v>
      </c>
      <c r="B4">
        <v>15</v>
      </c>
      <c r="C4">
        <v>14</v>
      </c>
      <c r="D4">
        <v>16</v>
      </c>
      <c r="E4">
        <v>12</v>
      </c>
      <c r="F4">
        <f>SUM(B4:E4)</f>
        <v>57</v>
      </c>
      <c r="G4" s="1">
        <f>AVERAGE(B4:E4)</f>
        <v>14.25</v>
      </c>
      <c r="H4" t="str">
        <f t="shared" si="0"/>
        <v>MVP</v>
      </c>
    </row>
    <row r="5" spans="1:8" x14ac:dyDescent="0.3">
      <c r="A5" t="s">
        <v>8</v>
      </c>
      <c r="B5">
        <v>7</v>
      </c>
      <c r="C5">
        <v>9</v>
      </c>
      <c r="D5">
        <v>11</v>
      </c>
      <c r="E5">
        <v>8</v>
      </c>
      <c r="F5">
        <f>SUM(B5:E5)</f>
        <v>35</v>
      </c>
      <c r="G5" s="1">
        <f>AVERAGE(B5:E5)</f>
        <v>8.75</v>
      </c>
      <c r="H5" t="str">
        <f t="shared" si="0"/>
        <v>Player</v>
      </c>
    </row>
    <row r="6" spans="1:8" x14ac:dyDescent="0.3">
      <c r="A6" t="s">
        <v>9</v>
      </c>
      <c r="B6">
        <v>11</v>
      </c>
      <c r="C6">
        <v>13</v>
      </c>
      <c r="D6">
        <v>9</v>
      </c>
      <c r="E6">
        <v>15</v>
      </c>
      <c r="F6">
        <f>SUM(B6:E6)</f>
        <v>48</v>
      </c>
      <c r="G6" s="1">
        <f>AVERAGE(B6:E6)</f>
        <v>12</v>
      </c>
      <c r="H6" t="str">
        <f t="shared" si="0"/>
        <v>MVP</v>
      </c>
    </row>
    <row r="7" spans="1:8" x14ac:dyDescent="0.3">
      <c r="A7" t="s">
        <v>10</v>
      </c>
      <c r="B7">
        <v>14</v>
      </c>
      <c r="C7">
        <v>12</v>
      </c>
      <c r="D7">
        <v>14</v>
      </c>
      <c r="E7">
        <v>13</v>
      </c>
      <c r="F7">
        <f>SUM(B7:E7)</f>
        <v>53</v>
      </c>
      <c r="G7" s="1">
        <f>AVERAGE(B7:E7)</f>
        <v>13.25</v>
      </c>
      <c r="H7" t="str">
        <f t="shared" si="0"/>
        <v>MVP</v>
      </c>
    </row>
    <row r="8" spans="1:8" x14ac:dyDescent="0.3">
      <c r="A8" t="s">
        <v>11</v>
      </c>
      <c r="B8">
        <v>8</v>
      </c>
      <c r="C8">
        <v>10</v>
      </c>
      <c r="D8">
        <v>12</v>
      </c>
      <c r="E8">
        <v>9</v>
      </c>
      <c r="F8">
        <f>SUM(B8:E8)</f>
        <v>39</v>
      </c>
      <c r="G8" s="1">
        <f>AVERAGE(B8:E8)</f>
        <v>9.75</v>
      </c>
      <c r="H8" t="str">
        <f t="shared" si="0"/>
        <v>Player</v>
      </c>
    </row>
    <row r="9" spans="1:8" x14ac:dyDescent="0.3">
      <c r="A9" t="s">
        <v>12</v>
      </c>
      <c r="B9">
        <v>13</v>
      </c>
      <c r="C9">
        <v>11</v>
      </c>
      <c r="D9">
        <v>10</v>
      </c>
      <c r="E9">
        <v>14</v>
      </c>
      <c r="F9">
        <f>SUM(B9:E9)</f>
        <v>48</v>
      </c>
      <c r="G9" s="1">
        <f>AVERAGE(B9:E9)</f>
        <v>12</v>
      </c>
      <c r="H9" t="str">
        <f t="shared" si="0"/>
        <v>MVP</v>
      </c>
    </row>
    <row r="10" spans="1:8" x14ac:dyDescent="0.3">
      <c r="A10" t="s">
        <v>13</v>
      </c>
      <c r="B10">
        <v>10</v>
      </c>
      <c r="C10">
        <v>8</v>
      </c>
      <c r="D10">
        <v>15</v>
      </c>
      <c r="E10">
        <v>11</v>
      </c>
      <c r="F10">
        <f>SUM(B10:E10)</f>
        <v>44</v>
      </c>
      <c r="G10" s="1">
        <f>AVERAGE(B10:E10)</f>
        <v>11</v>
      </c>
      <c r="H10" t="str">
        <f t="shared" si="0"/>
        <v>Player</v>
      </c>
    </row>
    <row r="11" spans="1:8" x14ac:dyDescent="0.3">
      <c r="A11" t="s">
        <v>14</v>
      </c>
      <c r="B11">
        <v>16</v>
      </c>
      <c r="C11">
        <v>17</v>
      </c>
      <c r="D11">
        <v>13</v>
      </c>
      <c r="E11">
        <v>16</v>
      </c>
      <c r="F11">
        <f>SUM(B11:E11)</f>
        <v>62</v>
      </c>
      <c r="G11" s="1">
        <f>AVERAGE(B11:E11)</f>
        <v>15.5</v>
      </c>
      <c r="H11" t="str">
        <f t="shared" si="0"/>
        <v>MVP</v>
      </c>
    </row>
    <row r="13" spans="1:8" x14ac:dyDescent="0.3">
      <c r="A13" t="s">
        <v>18</v>
      </c>
      <c r="B13">
        <f>MAX(F2:F11)</f>
        <v>62</v>
      </c>
    </row>
    <row r="14" spans="1:8" x14ac:dyDescent="0.3">
      <c r="A14" t="s">
        <v>19</v>
      </c>
      <c r="B14">
        <f>MIN(F2:F11)</f>
        <v>35</v>
      </c>
    </row>
    <row r="15" spans="1:8" x14ac:dyDescent="0.3">
      <c r="A15" t="s">
        <v>20</v>
      </c>
      <c r="B15">
        <f>AVERAGE(F2:F11)</f>
        <v>47.8</v>
      </c>
    </row>
    <row r="16" spans="1:8" x14ac:dyDescent="0.3">
      <c r="A16" t="s">
        <v>21</v>
      </c>
      <c r="B16">
        <f>COUNTIF(H2:H11,"MVP")</f>
        <v>6</v>
      </c>
    </row>
  </sheetData>
  <conditionalFormatting sqref="H2:H11">
    <cfRule type="containsText" dxfId="1" priority="1" operator="containsText" text="Player">
      <formula>NOT(ISERROR(SEARCH("Player",H2)))</formula>
    </cfRule>
    <cfRule type="containsText" dxfId="0" priority="2" operator="containsText" text="MVP">
      <formula>NOT(ISERROR(SEARCH("MVP",H2)))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Dusute, Elijah</dc:creator>
  <cp:lastModifiedBy>Dusute, Elijah</cp:lastModifiedBy>
  <dcterms:created xsi:type="dcterms:W3CDTF">2026-01-14T17:36:25Z</dcterms:created>
  <dcterms:modified xsi:type="dcterms:W3CDTF">2026-01-14T17:50:15Z</dcterms:modified>
</cp:coreProperties>
</file>